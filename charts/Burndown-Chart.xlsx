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s-pon\Downloads\"/>
    </mc:Choice>
  </mc:AlternateContent>
  <xr:revisionPtr revIDLastSave="0" documentId="8_{C6D13FE3-B097-4281-A371-F166A1BD529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C16" i="1" l="1"/>
  <c r="C5" i="1"/>
  <c r="C6" i="1"/>
  <c r="C7" i="1" s="1"/>
  <c r="C8" i="1" s="1"/>
  <c r="C9" i="1" s="1"/>
  <c r="C10" i="1" s="1"/>
  <c r="C11" i="1" s="1"/>
  <c r="C12" i="1" s="1"/>
  <c r="C13" i="1" s="1"/>
  <c r="C14" i="1" s="1"/>
  <c r="C15" i="1" s="1"/>
  <c r="A16" i="1"/>
  <c r="E5" i="1" l="1"/>
  <c r="A6" i="1" l="1"/>
  <c r="A7" i="1" s="1"/>
  <c r="A8" i="1" s="1"/>
  <c r="A9" i="1" s="1"/>
  <c r="A10" i="1" s="1"/>
  <c r="A11" i="1" s="1"/>
  <c r="A12" i="1" s="1"/>
  <c r="A13" i="1" s="1"/>
  <c r="A14" i="1" s="1"/>
  <c r="D5" i="1"/>
  <c r="D6" i="1" s="1"/>
  <c r="D7" i="1" l="1"/>
  <c r="E6" i="1"/>
  <c r="E7" i="1" l="1"/>
  <c r="D8" i="1"/>
  <c r="E8" i="1" l="1"/>
  <c r="D9" i="1"/>
  <c r="D10" i="1" l="1"/>
  <c r="E9" i="1"/>
  <c r="E10" i="1" l="1"/>
  <c r="D11" i="1"/>
  <c r="E11" i="1" l="1"/>
  <c r="D12" i="1"/>
  <c r="E12" i="1" l="1"/>
  <c r="D13" i="1"/>
  <c r="D14" i="1" l="1"/>
  <c r="E13" i="1"/>
  <c r="E14" i="1" l="1"/>
  <c r="D15" i="1"/>
  <c r="E15" i="1" l="1"/>
  <c r="D16" i="1"/>
  <c r="E16" i="1" l="1"/>
</calcChain>
</file>

<file path=xl/sharedStrings.xml><?xml version="1.0" encoding="utf-8"?>
<sst xmlns="http://schemas.openxmlformats.org/spreadsheetml/2006/main" count="13" uniqueCount="11">
  <si>
    <t xml:space="preserve">Hier Daten </t>
  </si>
  <si>
    <t>eingeben:</t>
  </si>
  <si>
    <t>Kalenderwoche</t>
  </si>
  <si>
    <t>Wochenaufwand</t>
  </si>
  <si>
    <t>Restaufwand</t>
  </si>
  <si>
    <t>Ist-Aufwand</t>
  </si>
  <si>
    <t>Gesamtaufwand</t>
  </si>
  <si>
    <t>Restaufwand:</t>
  </si>
  <si>
    <t>Wochenaufwand:</t>
  </si>
  <si>
    <t>In dieser Spalte wird jede Woche der neu geschätzte Restaufwand eingetragen ( siehe Folie "Aktuell geschätzter Restaufwand" aus Vorlesung "KW42" )</t>
  </si>
  <si>
    <t>ab Kalenderwoche 43 werden in dieser Spalte jede Woche die geleisteten Stunden (Aufwand) der vergangenen Woche eingetragen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</si>
</sst>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0"/>
      <color rgb="FF000000"/>
      <name val="Mangal"/>
      <family val="2"/>
    </font>
    <font>
      <i/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FFCCCC"/>
      </patternFill>
    </fill>
    <fill>
      <patternFill patternType="solid">
        <fgColor rgb="FFFFF200"/>
        <bgColor rgb="FFFFFF00"/>
      </patternFill>
    </fill>
    <fill>
      <patternFill patternType="solid">
        <fgColor rgb="FFB3B3B3"/>
        <bgColor rgb="FF96969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/>
    <xf numFmtId="0" fontId="3" fillId="4" borderId="0" xfId="0" applyFont="1" applyFill="1"/>
    <xf numFmtId="0" fontId="4" fillId="0" borderId="0" xfId="0" applyFont="1"/>
  </cellXfs>
  <cellStyles count="2">
    <cellStyle name="Erklärender Text" xfId="1" builtinId="53" customBuiltin="1"/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2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sz="1300" b="0" strike="noStrike" spc="-1">
                <a:latin typeface="Arial"/>
              </a:defRPr>
            </a:pPr>
            <a:r>
              <a:rPr lang="de-DE" sz="1300" b="0" strike="noStrike" spc="-1">
                <a:latin typeface="Arial"/>
              </a:rPr>
              <a:t>SWE Burndown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Tabelle1!$B$4</c:f>
              <c:strCache>
                <c:ptCount val="1"/>
                <c:pt idx="0">
                  <c:v>Wochenaufwand</c:v>
                </c:pt>
              </c:strCache>
            </c:strRef>
          </c:tx>
          <c:spPr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Tabelle1!$A$5:$A$16</c:f>
              <c:numCache>
                <c:formatCode>General</c:formatCode>
                <c:ptCount val="12"/>
                <c:pt idx="0">
                  <c:v>43</c:v>
                </c:pt>
                <c:pt idx="1">
                  <c:v>44</c:v>
                </c:pt>
                <c:pt idx="2">
                  <c:v>45</c:v>
                </c:pt>
                <c:pt idx="3">
                  <c:v>46</c:v>
                </c:pt>
                <c:pt idx="4">
                  <c:v>47</c:v>
                </c:pt>
                <c:pt idx="5">
                  <c:v>48</c:v>
                </c:pt>
                <c:pt idx="6">
                  <c:v>49</c:v>
                </c:pt>
                <c:pt idx="7">
                  <c:v>50</c:v>
                </c:pt>
                <c:pt idx="8">
                  <c:v>51</c:v>
                </c:pt>
                <c:pt idx="9">
                  <c:v>52</c:v>
                </c:pt>
                <c:pt idx="10">
                  <c:v>1</c:v>
                </c:pt>
                <c:pt idx="11">
                  <c:v>2</c:v>
                </c:pt>
              </c:numCache>
            </c:numRef>
          </c:cat>
          <c:val>
            <c:numRef>
              <c:f>Tabelle1!$B$5:$B$16</c:f>
              <c:numCache>
                <c:formatCode>General</c:formatCode>
                <c:ptCount val="12"/>
                <c:pt idx="0">
                  <c:v>31</c:v>
                </c:pt>
                <c:pt idx="1">
                  <c:v>33</c:v>
                </c:pt>
                <c:pt idx="2">
                  <c:v>37</c:v>
                </c:pt>
                <c:pt idx="3">
                  <c:v>38</c:v>
                </c:pt>
                <c:pt idx="4">
                  <c:v>44</c:v>
                </c:pt>
                <c:pt idx="5">
                  <c:v>20</c:v>
                </c:pt>
                <c:pt idx="6">
                  <c:v>33</c:v>
                </c:pt>
                <c:pt idx="7">
                  <c:v>48</c:v>
                </c:pt>
                <c:pt idx="8">
                  <c:v>72</c:v>
                </c:pt>
                <c:pt idx="9">
                  <c:v>14</c:v>
                </c:pt>
                <c:pt idx="10">
                  <c:v>5</c:v>
                </c:pt>
                <c:pt idx="11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E0-4910-A5C6-D440FE3C6AE7}"/>
            </c:ext>
          </c:extLst>
        </c:ser>
        <c:ser>
          <c:idx val="1"/>
          <c:order val="1"/>
          <c:tx>
            <c:strRef>
              <c:f>Tabelle1!$C$4</c:f>
              <c:strCache>
                <c:ptCount val="1"/>
                <c:pt idx="0">
                  <c:v>Restaufwand</c:v>
                </c:pt>
              </c:strCache>
            </c:strRef>
          </c:tx>
          <c:spPr>
            <a:ln w="54000">
              <a:solidFill>
                <a:srgbClr val="FF420E"/>
              </a:solidFill>
              <a:round/>
            </a:ln>
          </c:spPr>
          <c:marker>
            <c:symbol val="circle"/>
            <c:size val="10"/>
            <c:spPr>
              <a:solidFill>
                <a:srgbClr val="FF42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Tabelle1!$A$5:$A$16</c:f>
              <c:numCache>
                <c:formatCode>General</c:formatCode>
                <c:ptCount val="12"/>
                <c:pt idx="0">
                  <c:v>43</c:v>
                </c:pt>
                <c:pt idx="1">
                  <c:v>44</c:v>
                </c:pt>
                <c:pt idx="2">
                  <c:v>45</c:v>
                </c:pt>
                <c:pt idx="3">
                  <c:v>46</c:v>
                </c:pt>
                <c:pt idx="4">
                  <c:v>47</c:v>
                </c:pt>
                <c:pt idx="5">
                  <c:v>48</c:v>
                </c:pt>
                <c:pt idx="6">
                  <c:v>49</c:v>
                </c:pt>
                <c:pt idx="7">
                  <c:v>50</c:v>
                </c:pt>
                <c:pt idx="8">
                  <c:v>51</c:v>
                </c:pt>
                <c:pt idx="9">
                  <c:v>52</c:v>
                </c:pt>
                <c:pt idx="10">
                  <c:v>1</c:v>
                </c:pt>
                <c:pt idx="11">
                  <c:v>2</c:v>
                </c:pt>
              </c:numCache>
            </c:numRef>
          </c:cat>
          <c:val>
            <c:numRef>
              <c:f>Tabelle1!$C$5:$C$16</c:f>
              <c:numCache>
                <c:formatCode>General</c:formatCode>
                <c:ptCount val="12"/>
                <c:pt idx="0">
                  <c:v>473</c:v>
                </c:pt>
                <c:pt idx="1">
                  <c:v>440</c:v>
                </c:pt>
                <c:pt idx="2">
                  <c:v>403</c:v>
                </c:pt>
                <c:pt idx="3">
                  <c:v>365</c:v>
                </c:pt>
                <c:pt idx="4">
                  <c:v>321</c:v>
                </c:pt>
                <c:pt idx="5">
                  <c:v>301</c:v>
                </c:pt>
                <c:pt idx="6">
                  <c:v>268</c:v>
                </c:pt>
                <c:pt idx="7">
                  <c:v>220</c:v>
                </c:pt>
                <c:pt idx="8">
                  <c:v>148</c:v>
                </c:pt>
                <c:pt idx="9">
                  <c:v>134</c:v>
                </c:pt>
                <c:pt idx="10">
                  <c:v>129</c:v>
                </c:pt>
                <c:pt idx="11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E0-4910-A5C6-D440FE3C6AE7}"/>
            </c:ext>
          </c:extLst>
        </c:ser>
        <c:ser>
          <c:idx val="2"/>
          <c:order val="2"/>
          <c:tx>
            <c:strRef>
              <c:f>Tabelle1!$D$4</c:f>
              <c:strCache>
                <c:ptCount val="1"/>
                <c:pt idx="0">
                  <c:v>Ist-Aufwand</c:v>
                </c:pt>
              </c:strCache>
            </c:strRef>
          </c:tx>
          <c:spPr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Tabelle1!$A$5:$A$16</c:f>
              <c:numCache>
                <c:formatCode>General</c:formatCode>
                <c:ptCount val="12"/>
                <c:pt idx="0">
                  <c:v>43</c:v>
                </c:pt>
                <c:pt idx="1">
                  <c:v>44</c:v>
                </c:pt>
                <c:pt idx="2">
                  <c:v>45</c:v>
                </c:pt>
                <c:pt idx="3">
                  <c:v>46</c:v>
                </c:pt>
                <c:pt idx="4">
                  <c:v>47</c:v>
                </c:pt>
                <c:pt idx="5">
                  <c:v>48</c:v>
                </c:pt>
                <c:pt idx="6">
                  <c:v>49</c:v>
                </c:pt>
                <c:pt idx="7">
                  <c:v>50</c:v>
                </c:pt>
                <c:pt idx="8">
                  <c:v>51</c:v>
                </c:pt>
                <c:pt idx="9">
                  <c:v>52</c:v>
                </c:pt>
                <c:pt idx="10">
                  <c:v>1</c:v>
                </c:pt>
                <c:pt idx="11">
                  <c:v>2</c:v>
                </c:pt>
              </c:numCache>
            </c:numRef>
          </c:cat>
          <c:val>
            <c:numRef>
              <c:f>Tabelle1!$D$5:$D$16</c:f>
              <c:numCache>
                <c:formatCode>General</c:formatCode>
                <c:ptCount val="12"/>
                <c:pt idx="0">
                  <c:v>31</c:v>
                </c:pt>
                <c:pt idx="1">
                  <c:v>64</c:v>
                </c:pt>
                <c:pt idx="2">
                  <c:v>101</c:v>
                </c:pt>
                <c:pt idx="3">
                  <c:v>139</c:v>
                </c:pt>
                <c:pt idx="4">
                  <c:v>183</c:v>
                </c:pt>
                <c:pt idx="5">
                  <c:v>203</c:v>
                </c:pt>
                <c:pt idx="6">
                  <c:v>236</c:v>
                </c:pt>
                <c:pt idx="7">
                  <c:v>284</c:v>
                </c:pt>
                <c:pt idx="8">
                  <c:v>356</c:v>
                </c:pt>
                <c:pt idx="9">
                  <c:v>370</c:v>
                </c:pt>
                <c:pt idx="10">
                  <c:v>375</c:v>
                </c:pt>
                <c:pt idx="11">
                  <c:v>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E0-4910-A5C6-D440FE3C6AE7}"/>
            </c:ext>
          </c:extLst>
        </c:ser>
        <c:ser>
          <c:idx val="3"/>
          <c:order val="3"/>
          <c:tx>
            <c:strRef>
              <c:f>Tabelle1!$E$4</c:f>
              <c:strCache>
                <c:ptCount val="1"/>
                <c:pt idx="0">
                  <c:v>Gesamtaufwand</c:v>
                </c:pt>
              </c:strCache>
            </c:strRef>
          </c:tx>
          <c:spPr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Tabelle1!$A$5:$A$16</c:f>
              <c:numCache>
                <c:formatCode>General</c:formatCode>
                <c:ptCount val="12"/>
                <c:pt idx="0">
                  <c:v>43</c:v>
                </c:pt>
                <c:pt idx="1">
                  <c:v>44</c:v>
                </c:pt>
                <c:pt idx="2">
                  <c:v>45</c:v>
                </c:pt>
                <c:pt idx="3">
                  <c:v>46</c:v>
                </c:pt>
                <c:pt idx="4">
                  <c:v>47</c:v>
                </c:pt>
                <c:pt idx="5">
                  <c:v>48</c:v>
                </c:pt>
                <c:pt idx="6">
                  <c:v>49</c:v>
                </c:pt>
                <c:pt idx="7">
                  <c:v>50</c:v>
                </c:pt>
                <c:pt idx="8">
                  <c:v>51</c:v>
                </c:pt>
                <c:pt idx="9">
                  <c:v>52</c:v>
                </c:pt>
                <c:pt idx="10">
                  <c:v>1</c:v>
                </c:pt>
                <c:pt idx="11">
                  <c:v>2</c:v>
                </c:pt>
              </c:numCache>
            </c:numRef>
          </c:cat>
          <c:val>
            <c:numRef>
              <c:f>Tabelle1!$E$5:$E$16</c:f>
              <c:numCache>
                <c:formatCode>General</c:formatCode>
                <c:ptCount val="12"/>
                <c:pt idx="0">
                  <c:v>504</c:v>
                </c:pt>
                <c:pt idx="1">
                  <c:v>504</c:v>
                </c:pt>
                <c:pt idx="2">
                  <c:v>504</c:v>
                </c:pt>
                <c:pt idx="3">
                  <c:v>504</c:v>
                </c:pt>
                <c:pt idx="4">
                  <c:v>504</c:v>
                </c:pt>
                <c:pt idx="5">
                  <c:v>504</c:v>
                </c:pt>
                <c:pt idx="6">
                  <c:v>504</c:v>
                </c:pt>
                <c:pt idx="7">
                  <c:v>504</c:v>
                </c:pt>
                <c:pt idx="8">
                  <c:v>504</c:v>
                </c:pt>
                <c:pt idx="9">
                  <c:v>504</c:v>
                </c:pt>
                <c:pt idx="10">
                  <c:v>504</c:v>
                </c:pt>
                <c:pt idx="11">
                  <c:v>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E0-4910-A5C6-D440FE3C6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smooth val="0"/>
        <c:axId val="41193324"/>
        <c:axId val="4010517"/>
      </c:lineChart>
      <c:catAx>
        <c:axId val="41193324"/>
        <c:scaling>
          <c:orientation val="minMax"/>
        </c:scaling>
        <c:delete val="0"/>
        <c:axPos val="b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900" b="0" strike="noStrike" spc="-1">
                    <a:latin typeface="Arial"/>
                  </a:defRPr>
                </a:pPr>
                <a:r>
                  <a:rPr lang="de-DE" sz="900" b="0" strike="noStrike" spc="-1">
                    <a:latin typeface="Arial"/>
                  </a:rPr>
                  <a:t>Kalenderwoche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de-DE"/>
          </a:p>
        </c:txPr>
        <c:crossAx val="4010517"/>
        <c:crosses val="autoZero"/>
        <c:auto val="1"/>
        <c:lblAlgn val="ctr"/>
        <c:lblOffset val="100"/>
        <c:noMultiLvlLbl val="1"/>
      </c:catAx>
      <c:valAx>
        <c:axId val="4010517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900" b="0" strike="noStrike" spc="-1">
                    <a:latin typeface="Arial"/>
                  </a:defRPr>
                </a:pPr>
                <a:r>
                  <a:rPr lang="de-DE" sz="900" b="0" strike="noStrike" spc="-1">
                    <a:latin typeface="Arial"/>
                  </a:rPr>
                  <a:t>Aufwand [h]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de-DE"/>
          </a:p>
        </c:txPr>
        <c:crossAx val="41193324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b"/>
      <c:overlay val="0"/>
      <c:spPr>
        <a:noFill/>
        <a:ln>
          <a:noFill/>
        </a:ln>
      </c:spPr>
    </c:legend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38520</xdr:colOff>
      <xdr:row>0</xdr:row>
      <xdr:rowOff>38880</xdr:rowOff>
    </xdr:from>
    <xdr:to>
      <xdr:col>14</xdr:col>
      <xdr:colOff>2475</xdr:colOff>
      <xdr:row>39</xdr:row>
      <xdr:rowOff>78480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6"/>
  <sheetViews>
    <sheetView tabSelected="1" zoomScaleNormal="100" workbookViewId="0">
      <selection activeCell="C16" sqref="C16"/>
    </sheetView>
  </sheetViews>
  <sheetFormatPr baseColWidth="10" defaultColWidth="8.7109375" defaultRowHeight="12.75" x14ac:dyDescent="0.2"/>
  <cols>
    <col min="1" max="1" width="14" customWidth="1"/>
    <col min="2" max="2" width="15.85546875" style="1" customWidth="1"/>
    <col min="3" max="3" width="13.7109375" style="1" customWidth="1"/>
    <col min="4" max="4" width="12.28515625" customWidth="1"/>
    <col min="5" max="5" width="15.7109375" customWidth="1"/>
    <col min="6" max="1025" width="11.42578125"/>
  </cols>
  <sheetData>
    <row r="2" spans="1:5" x14ac:dyDescent="0.2">
      <c r="B2" s="2" t="s">
        <v>0</v>
      </c>
      <c r="C2" s="2" t="s">
        <v>0</v>
      </c>
    </row>
    <row r="3" spans="1:5" x14ac:dyDescent="0.2">
      <c r="B3" s="2" t="s">
        <v>1</v>
      </c>
      <c r="C3" s="2" t="s">
        <v>1</v>
      </c>
    </row>
    <row r="4" spans="1:5" x14ac:dyDescent="0.2">
      <c r="A4" t="s">
        <v>2</v>
      </c>
      <c r="B4" s="3" t="s">
        <v>3</v>
      </c>
      <c r="C4" s="3" t="s">
        <v>4</v>
      </c>
      <c r="D4" t="s">
        <v>5</v>
      </c>
      <c r="E4" t="s">
        <v>6</v>
      </c>
    </row>
    <row r="5" spans="1:5" x14ac:dyDescent="0.2">
      <c r="A5" s="4">
        <v>43</v>
      </c>
      <c r="B5" s="3">
        <v>31</v>
      </c>
      <c r="C5" s="3">
        <f>504-B5</f>
        <v>473</v>
      </c>
      <c r="D5" s="4">
        <f>B5</f>
        <v>31</v>
      </c>
      <c r="E5" s="5">
        <f>C5+D5</f>
        <v>504</v>
      </c>
    </row>
    <row r="6" spans="1:5" x14ac:dyDescent="0.2">
      <c r="A6" s="4">
        <f t="shared" ref="A6:A14" si="0">A5+1</f>
        <v>44</v>
      </c>
      <c r="B6" s="3">
        <v>33</v>
      </c>
      <c r="C6" s="3">
        <f>C5-B6</f>
        <v>440</v>
      </c>
      <c r="D6" s="4">
        <f t="shared" ref="D6:D20" si="1">B6+D5</f>
        <v>64</v>
      </c>
      <c r="E6" s="5">
        <f t="shared" ref="E5:E20" si="2">C6+D6</f>
        <v>504</v>
      </c>
    </row>
    <row r="7" spans="1:5" x14ac:dyDescent="0.2">
      <c r="A7" s="4">
        <f t="shared" si="0"/>
        <v>45</v>
      </c>
      <c r="B7" s="3">
        <v>37</v>
      </c>
      <c r="C7" s="3">
        <f>C6-B7</f>
        <v>403</v>
      </c>
      <c r="D7" s="4">
        <f t="shared" si="1"/>
        <v>101</v>
      </c>
      <c r="E7" s="5">
        <f t="shared" si="2"/>
        <v>504</v>
      </c>
    </row>
    <row r="8" spans="1:5" x14ac:dyDescent="0.2">
      <c r="A8" s="4">
        <f t="shared" si="0"/>
        <v>46</v>
      </c>
      <c r="B8" s="3">
        <v>38</v>
      </c>
      <c r="C8" s="3">
        <f>C7-B8</f>
        <v>365</v>
      </c>
      <c r="D8" s="4">
        <f t="shared" si="1"/>
        <v>139</v>
      </c>
      <c r="E8" s="5">
        <f t="shared" si="2"/>
        <v>504</v>
      </c>
    </row>
    <row r="9" spans="1:5" x14ac:dyDescent="0.2">
      <c r="A9" s="4">
        <f t="shared" si="0"/>
        <v>47</v>
      </c>
      <c r="B9" s="3">
        <v>44</v>
      </c>
      <c r="C9" s="3">
        <f>C8-B9</f>
        <v>321</v>
      </c>
      <c r="D9" s="4">
        <f t="shared" si="1"/>
        <v>183</v>
      </c>
      <c r="E9" s="5">
        <f t="shared" si="2"/>
        <v>504</v>
      </c>
    </row>
    <row r="10" spans="1:5" x14ac:dyDescent="0.2">
      <c r="A10" s="4">
        <f t="shared" si="0"/>
        <v>48</v>
      </c>
      <c r="B10" s="3">
        <v>20</v>
      </c>
      <c r="C10" s="3">
        <f>C9-B10</f>
        <v>301</v>
      </c>
      <c r="D10" s="4">
        <f t="shared" si="1"/>
        <v>203</v>
      </c>
      <c r="E10" s="5">
        <f t="shared" si="2"/>
        <v>504</v>
      </c>
    </row>
    <row r="11" spans="1:5" x14ac:dyDescent="0.2">
      <c r="A11" s="4">
        <f t="shared" si="0"/>
        <v>49</v>
      </c>
      <c r="B11" s="3">
        <v>33</v>
      </c>
      <c r="C11" s="3">
        <f>C10-B11</f>
        <v>268</v>
      </c>
      <c r="D11" s="4">
        <f t="shared" si="1"/>
        <v>236</v>
      </c>
      <c r="E11" s="5">
        <f t="shared" si="2"/>
        <v>504</v>
      </c>
    </row>
    <row r="12" spans="1:5" x14ac:dyDescent="0.2">
      <c r="A12" s="4">
        <f t="shared" si="0"/>
        <v>50</v>
      </c>
      <c r="B12" s="3">
        <v>48</v>
      </c>
      <c r="C12" s="3">
        <f>C11-B12</f>
        <v>220</v>
      </c>
      <c r="D12" s="4">
        <f t="shared" si="1"/>
        <v>284</v>
      </c>
      <c r="E12" s="5">
        <f t="shared" si="2"/>
        <v>504</v>
      </c>
    </row>
    <row r="13" spans="1:5" x14ac:dyDescent="0.2">
      <c r="A13" s="4">
        <f t="shared" si="0"/>
        <v>51</v>
      </c>
      <c r="B13" s="3">
        <v>72</v>
      </c>
      <c r="C13" s="3">
        <f>C12-B13</f>
        <v>148</v>
      </c>
      <c r="D13" s="4">
        <f t="shared" si="1"/>
        <v>356</v>
      </c>
      <c r="E13" s="5">
        <f t="shared" si="2"/>
        <v>504</v>
      </c>
    </row>
    <row r="14" spans="1:5" x14ac:dyDescent="0.2">
      <c r="A14" s="4">
        <f t="shared" si="0"/>
        <v>52</v>
      </c>
      <c r="B14" s="3">
        <v>14</v>
      </c>
      <c r="C14" s="3">
        <f>C13-B14</f>
        <v>134</v>
      </c>
      <c r="D14" s="4">
        <f t="shared" si="1"/>
        <v>370</v>
      </c>
      <c r="E14" s="5">
        <f t="shared" si="2"/>
        <v>504</v>
      </c>
    </row>
    <row r="15" spans="1:5" x14ac:dyDescent="0.2">
      <c r="A15" s="4">
        <v>1</v>
      </c>
      <c r="B15" s="3">
        <v>5</v>
      </c>
      <c r="C15" s="3">
        <f>C14-B15</f>
        <v>129</v>
      </c>
      <c r="D15" s="4">
        <f t="shared" si="1"/>
        <v>375</v>
      </c>
      <c r="E15" s="5">
        <f t="shared" si="2"/>
        <v>504</v>
      </c>
    </row>
    <row r="16" spans="1:5" x14ac:dyDescent="0.2">
      <c r="A16" s="4">
        <f>A15+1</f>
        <v>2</v>
      </c>
      <c r="B16" s="3">
        <v>56</v>
      </c>
      <c r="C16" s="3">
        <f>C15-B16</f>
        <v>73</v>
      </c>
      <c r="D16" s="4">
        <f t="shared" si="1"/>
        <v>431</v>
      </c>
      <c r="E16" s="5">
        <f t="shared" si="2"/>
        <v>504</v>
      </c>
    </row>
    <row r="17" spans="1:5" x14ac:dyDescent="0.2">
      <c r="A17" s="4"/>
      <c r="B17" s="3"/>
      <c r="C17" s="3"/>
      <c r="D17" s="4"/>
      <c r="E17" s="5"/>
    </row>
    <row r="18" spans="1:5" x14ac:dyDescent="0.2">
      <c r="A18" s="4"/>
      <c r="B18" s="3"/>
      <c r="C18" s="3"/>
      <c r="D18" s="4"/>
      <c r="E18" s="5"/>
    </row>
    <row r="19" spans="1:5" x14ac:dyDescent="0.2">
      <c r="A19" s="4"/>
      <c r="B19" s="3"/>
      <c r="C19" s="3"/>
      <c r="D19" s="4"/>
      <c r="E19" s="5"/>
    </row>
    <row r="20" spans="1:5" x14ac:dyDescent="0.2">
      <c r="A20" s="4"/>
      <c r="B20" s="3"/>
      <c r="C20" s="3"/>
      <c r="D20" s="4"/>
      <c r="E20" s="5"/>
    </row>
    <row r="42" spans="1:1" x14ac:dyDescent="0.2">
      <c r="A42" s="6" t="s">
        <v>8</v>
      </c>
    </row>
    <row r="43" spans="1:1" x14ac:dyDescent="0.2">
      <c r="A43" t="s">
        <v>10</v>
      </c>
    </row>
    <row r="45" spans="1:1" x14ac:dyDescent="0.2">
      <c r="A45" s="6" t="s">
        <v>7</v>
      </c>
    </row>
    <row r="46" spans="1:1" x14ac:dyDescent="0.2">
      <c r="A46" t="s">
        <v>9</v>
      </c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>
    <oddHeader>&amp;C&amp;A</oddHeader>
    <oddFooter>&amp;CSeite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Api</dc:creator>
  <dc:description/>
  <cp:lastModifiedBy>Ponader, Sebastian</cp:lastModifiedBy>
  <cp:revision>8</cp:revision>
  <dcterms:created xsi:type="dcterms:W3CDTF">2017-12-11T09:40:01Z</dcterms:created>
  <dcterms:modified xsi:type="dcterms:W3CDTF">2026-01-09T00:44:01Z</dcterms:modified>
  <dc:language>de-DE</dc:language>
</cp:coreProperties>
</file>